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 PIM\Downloads\"/>
    </mc:Choice>
  </mc:AlternateContent>
  <xr:revisionPtr revIDLastSave="0" documentId="8_{BAF3A59F-65C2-4D1A-900C-DC83F6FB69DD}" xr6:coauthVersionLast="47" xr6:coauthVersionMax="47" xr10:uidLastSave="{00000000-0000-0000-0000-000000000000}"/>
  <bookViews>
    <workbookView xWindow="-120" yWindow="-120" windowWidth="20730" windowHeight="11760" tabRatio="808" firstSheet="3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9" l="1"/>
  <c r="H2" i="9"/>
  <c r="E10" i="9"/>
  <c r="A5" i="10"/>
  <c r="A2" i="10"/>
  <c r="E3" i="9"/>
  <c r="C23" i="8"/>
  <c r="C19" i="8"/>
  <c r="C15" i="8"/>
  <c r="C11" i="8"/>
  <c r="C6" i="8"/>
  <c r="C5" i="8"/>
  <c r="C4" i="8"/>
  <c r="C3" i="8"/>
  <c r="C2" i="8"/>
  <c r="A32" i="7"/>
  <c r="A29" i="7"/>
  <c r="A15" i="7"/>
  <c r="A26" i="7"/>
  <c r="F3" i="6"/>
  <c r="A23" i="7"/>
  <c r="F2" i="6"/>
  <c r="F8" i="6"/>
  <c r="A11" i="7"/>
  <c r="A3" i="7"/>
  <c r="A7" i="7"/>
  <c r="F10" i="6"/>
  <c r="F9" i="6"/>
  <c r="F7" i="6"/>
  <c r="E7" i="5"/>
  <c r="E6" i="5"/>
  <c r="E5" i="5"/>
  <c r="E3" i="5"/>
  <c r="E4" i="5"/>
  <c r="E2" i="5"/>
  <c r="E12" i="5"/>
  <c r="E11" i="5"/>
  <c r="E10" i="5"/>
  <c r="B5" i="4"/>
  <c r="C5" i="13"/>
  <c r="C5" i="12"/>
  <c r="D5" i="13"/>
  <c r="E5" i="13"/>
  <c r="D5" i="12"/>
  <c r="E5" i="12"/>
  <c r="B5" i="13"/>
  <c r="B5" i="12"/>
  <c r="C4" i="13"/>
  <c r="C4" i="12"/>
  <c r="E4" i="13"/>
  <c r="E4" i="12"/>
  <c r="D4" i="13"/>
  <c r="D4" i="12"/>
  <c r="B4" i="13"/>
  <c r="B4" i="12"/>
  <c r="E3" i="13"/>
  <c r="E3" i="12"/>
  <c r="E2" i="13"/>
  <c r="E2" i="12"/>
  <c r="A3" i="11"/>
  <c r="B4" i="11"/>
  <c r="B3" i="11"/>
  <c r="A2" i="11"/>
  <c r="A1" i="11"/>
  <c r="B4" i="4"/>
</calcChain>
</file>

<file path=xl/sharedStrings.xml><?xml version="1.0" encoding="utf-8"?>
<sst xmlns="http://schemas.openxmlformats.org/spreadsheetml/2006/main" count="158" uniqueCount="77">
  <si>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</si>
  <si>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</si>
  <si>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</si>
  <si>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</si>
  <si>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</si>
  <si>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</si>
  <si>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</si>
  <si>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</si>
  <si>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</si>
  <si>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</si>
  <si>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</si>
  <si>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</si>
  <si>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</si>
  <si>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</si>
  <si>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</si>
  <si>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</si>
  <si>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</si>
  <si>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</si>
  <si>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</si>
  <si>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</si>
  <si>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</si>
  <si>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</si>
  <si>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</si>
  <si>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</si>
  <si>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</si>
  <si>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</si>
  <si>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</si>
  <si>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</si>
  <si>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</si>
  <si>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</si>
  <si>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</si>
  <si>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</si>
  <si>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</si>
  <si>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</si>
  <si>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</si>
  <si>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</si>
  <si>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</si>
  <si>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</si>
  <si>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</si>
  <si>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</si>
  <si>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</si>
  <si>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</si>
  <si>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</si>
  <si>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</si>
  <si>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</si>
  <si>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</si>
  <si>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</si>
  <si>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</si>
  <si>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</si>
  <si>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</si>
  <si>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</si>
  <si>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</si>
  <si>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</si>
  <si>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</si>
  <si>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</si>
  <si>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</si>
  <si>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</si>
  <si>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</si>
  <si>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</si>
  <si>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</si>
  <si>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</si>
  <si>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</si>
  <si>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</si>
  <si>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</si>
  <si>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</si>
  <si>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</si>
  <si>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</si>
  <si>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</si>
  <si>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</si>
  <si>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</si>
  <si>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</si>
  <si>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</si>
  <si>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</si>
  <si>
    <t>HLOOKUP</t>
  </si>
  <si>
    <t xml:space="preserve"> what is the price of :</t>
  </si>
  <si>
    <t>MATCH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</si>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</sst>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Normal="100" workbookViewId="0">
      <selection activeCell="A2" sqref="A2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25">
      <c r="A2" s="2" t="s">
        <v>2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3</v>
      </c>
      <c r="B3">
        <v>4</v>
      </c>
      <c r="C3">
        <v>3</v>
      </c>
      <c r="D3">
        <v>2</v>
      </c>
      <c r="E3">
        <f>SUM(B3:D3)</f>
        <v>9</v>
      </c>
    </row>
    <row r="4" spans="1:7" x14ac:dyDescent="0.25">
      <c r="A4" s="2" t="s">
        <v>4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25">
      <c r="A5" s="2" t="s">
        <v>12</v>
      </c>
      <c r="B5">
        <f>B4* TaxRate</f>
        <v>0.60000000000000009</v>
      </c>
      <c r="C5">
        <f>C4* TaxRate</f>
        <v>0.5</v>
      </c>
      <c r="D5">
        <f>D4* TaxRate</f>
        <v>0.30000000000000004</v>
      </c>
      <c r="E5">
        <f>E4* 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13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E5"/>
  <sheetViews>
    <sheetView zoomScaleNormal="100" workbookViewId="0">
      <selection activeCell="A2" sqref="A2"/>
    </sheetView>
  </sheetViews>
  <sheetFormatPr defaultRowHeight="15" x14ac:dyDescent="0.25"/>
  <sheetData>
    <row r="1" spans="1:5" x14ac:dyDescent="0.25">
      <c r="A1" s="2" t="s">
        <v>11</v>
      </c>
    </row>
    <row r="2" spans="1:5" x14ac:dyDescent="0.25">
      <c r="A2" s="3">
        <v>0.1</v>
      </c>
      <c r="E2">
        <f>SUM(B2:D2)</f>
        <v>0</v>
      </c>
    </row>
    <row r="3" spans="1:5" x14ac:dyDescent="0.25">
      <c r="E3">
        <f>SUM(B3:D3)</f>
        <v>0</v>
      </c>
    </row>
    <row r="4" spans="1:5" x14ac:dyDescent="0.25">
      <c r="B4">
        <f>B2-B3</f>
        <v>0</v>
      </c>
      <c r="C4">
        <f>C2-C3</f>
        <v>0</v>
      </c>
      <c r="D4">
        <f>D2-D3</f>
        <v>0</v>
      </c>
      <c r="E4">
        <f>E2-E3</f>
        <v>0</v>
      </c>
    </row>
    <row r="5" spans="1:5" x14ac:dyDescent="0.25">
      <c r="B5">
        <f>B4* TaxRate</f>
        <v>0</v>
      </c>
      <c r="C5">
        <f>C4* TaxRate</f>
        <v>0</v>
      </c>
      <c r="D5">
        <f>D4* TaxRate</f>
        <v>0</v>
      </c>
      <c r="E5">
        <f>E4* TaxRate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Normal="100" workbookViewId="0">
      <selection activeCell="B5" sqref="B5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11</v>
      </c>
    </row>
    <row r="2" spans="1:4" x14ac:dyDescent="0.25">
      <c r="A2" s="2" t="s">
        <v>2</v>
      </c>
      <c r="B2">
        <v>10</v>
      </c>
      <c r="D2" s="3">
        <v>0.1</v>
      </c>
    </row>
    <row r="3" spans="1:4" x14ac:dyDescent="0.25">
      <c r="A3" s="2" t="s">
        <v>3</v>
      </c>
      <c r="B3">
        <v>4</v>
      </c>
    </row>
    <row r="4" spans="1:4" x14ac:dyDescent="0.25">
      <c r="A4" s="2" t="s">
        <v>4</v>
      </c>
      <c r="B4">
        <f>B2-B3</f>
        <v>6</v>
      </c>
    </row>
    <row r="5" spans="1:4" x14ac:dyDescent="0.25">
      <c r="A5" s="2" t="s">
        <v>12</v>
      </c>
      <c r="B5">
        <f>(B2-B3)*D2</f>
        <v>0.60000000000000009</v>
      </c>
    </row>
    <row r="7" spans="1:4" x14ac:dyDescent="0.25">
      <c r="A7" s="4" t="s">
        <v>14</v>
      </c>
    </row>
    <row r="8" spans="1:4" x14ac:dyDescent="0.25">
      <c r="A8" s="4" t="s">
        <v>15</v>
      </c>
    </row>
    <row r="9" spans="1:4" x14ac:dyDescent="0.25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Normal="100" workbookViewId="0">
      <selection activeCell="E10" sqref="E10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18</v>
      </c>
      <c r="B1" s="2" t="s">
        <v>17</v>
      </c>
    </row>
    <row r="2" spans="1:5" x14ac:dyDescent="0.25">
      <c r="A2" t="s">
        <v>0</v>
      </c>
      <c r="B2">
        <v>97</v>
      </c>
      <c r="D2" t="s">
        <v>39</v>
      </c>
      <c r="E2">
        <f>SUM(B2:B8)</f>
        <v>421</v>
      </c>
    </row>
    <row r="3" spans="1:5" x14ac:dyDescent="0.25">
      <c r="A3" t="s">
        <v>7</v>
      </c>
      <c r="B3">
        <v>77</v>
      </c>
      <c r="D3" t="s">
        <v>20</v>
      </c>
      <c r="E3">
        <f>MAX(B2:B8)</f>
        <v>97</v>
      </c>
    </row>
    <row r="4" spans="1:5" x14ac:dyDescent="0.25">
      <c r="A4" t="s">
        <v>9</v>
      </c>
      <c r="B4">
        <v>67</v>
      </c>
      <c r="D4" t="s">
        <v>21</v>
      </c>
      <c r="E4">
        <f>MIN(B2:B8)</f>
        <v>36</v>
      </c>
    </row>
    <row r="5" spans="1:5" x14ac:dyDescent="0.25">
      <c r="A5" t="s">
        <v>5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6</v>
      </c>
      <c r="B6">
        <v>52</v>
      </c>
      <c r="D6" t="s">
        <v>22</v>
      </c>
      <c r="E6">
        <f>SMALL(B2:B8,2)</f>
        <v>40</v>
      </c>
    </row>
    <row r="7" spans="1:5" x14ac:dyDescent="0.25">
      <c r="A7" t="s">
        <v>8</v>
      </c>
      <c r="B7">
        <v>40</v>
      </c>
      <c r="D7" t="s">
        <v>24</v>
      </c>
      <c r="E7">
        <f>COUNT(B2:B8)</f>
        <v>7</v>
      </c>
    </row>
    <row r="8" spans="1:5" x14ac:dyDescent="0.25">
      <c r="A8" t="s">
        <v>1</v>
      </c>
      <c r="B8">
        <v>36</v>
      </c>
    </row>
    <row r="10" spans="1:5" x14ac:dyDescent="0.25">
      <c r="D10" t="s">
        <v>23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25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3" sqref="F3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18</v>
      </c>
      <c r="B1" s="2" t="s">
        <v>27</v>
      </c>
      <c r="C1" s="2" t="s">
        <v>17</v>
      </c>
    </row>
    <row r="2" spans="1:6" x14ac:dyDescent="0.25">
      <c r="A2" t="s">
        <v>0</v>
      </c>
      <c r="B2" t="s">
        <v>28</v>
      </c>
      <c r="C2">
        <v>28</v>
      </c>
      <c r="E2" t="s">
        <v>31</v>
      </c>
      <c r="F2">
        <f>SUMIF(B:B,"*s",C:C)</f>
        <v>802</v>
      </c>
    </row>
    <row r="3" spans="1:6" x14ac:dyDescent="0.25">
      <c r="A3" t="s">
        <v>7</v>
      </c>
      <c r="B3" t="s">
        <v>28</v>
      </c>
      <c r="C3">
        <v>32</v>
      </c>
      <c r="E3" t="s">
        <v>36</v>
      </c>
      <c r="F3">
        <f>SUMIFS(C:C,B:B,B2,A:A,A2:A3)</f>
        <v>32</v>
      </c>
    </row>
    <row r="4" spans="1:6" x14ac:dyDescent="0.25">
      <c r="A4" t="s">
        <v>9</v>
      </c>
      <c r="B4" t="s">
        <v>28</v>
      </c>
      <c r="C4">
        <v>52</v>
      </c>
    </row>
    <row r="5" spans="1:6" x14ac:dyDescent="0.25">
      <c r="A5" t="s">
        <v>5</v>
      </c>
      <c r="B5" t="s">
        <v>28</v>
      </c>
      <c r="C5">
        <v>67</v>
      </c>
    </row>
    <row r="6" spans="1:6" x14ac:dyDescent="0.25">
      <c r="A6" t="s">
        <v>6</v>
      </c>
      <c r="B6" t="s">
        <v>28</v>
      </c>
      <c r="C6">
        <v>44</v>
      </c>
    </row>
    <row r="7" spans="1:6" x14ac:dyDescent="0.25">
      <c r="A7" t="s">
        <v>8</v>
      </c>
      <c r="B7" t="s">
        <v>28</v>
      </c>
      <c r="C7">
        <v>39</v>
      </c>
      <c r="E7" t="s">
        <v>32</v>
      </c>
      <c r="F7">
        <f>AVERAGEIF(B:B,B2,C:C)</f>
        <v>51.714285714285715</v>
      </c>
    </row>
    <row r="8" spans="1:6" x14ac:dyDescent="0.25">
      <c r="A8" t="s">
        <v>1</v>
      </c>
      <c r="B8" t="s">
        <v>28</v>
      </c>
      <c r="C8">
        <v>100</v>
      </c>
      <c r="E8" t="s">
        <v>37</v>
      </c>
      <c r="F8">
        <f>AVERAGEIFS(C:C,B:B,B2,A:A,A2)</f>
        <v>28</v>
      </c>
    </row>
    <row r="9" spans="1:6" x14ac:dyDescent="0.25">
      <c r="A9" t="s">
        <v>0</v>
      </c>
      <c r="B9" t="s">
        <v>29</v>
      </c>
      <c r="C9">
        <v>75</v>
      </c>
      <c r="E9" t="s">
        <v>33</v>
      </c>
      <c r="F9">
        <f>COUNTIF(B:B,B2)</f>
        <v>7</v>
      </c>
    </row>
    <row r="10" spans="1:6" x14ac:dyDescent="0.25">
      <c r="A10" t="s">
        <v>7</v>
      </c>
      <c r="B10" t="s">
        <v>29</v>
      </c>
      <c r="C10">
        <v>32</v>
      </c>
      <c r="E10" t="s">
        <v>38</v>
      </c>
      <c r="F10">
        <f>COUNTIFS(B:B,B4,A:A,A2)</f>
        <v>1</v>
      </c>
    </row>
    <row r="11" spans="1:6" x14ac:dyDescent="0.25">
      <c r="A11" t="s">
        <v>9</v>
      </c>
      <c r="B11" t="s">
        <v>29</v>
      </c>
      <c r="C11">
        <v>40</v>
      </c>
      <c r="E11" t="s">
        <v>34</v>
      </c>
    </row>
    <row r="12" spans="1:6" x14ac:dyDescent="0.25">
      <c r="A12" t="s">
        <v>5</v>
      </c>
      <c r="B12" t="s">
        <v>29</v>
      </c>
      <c r="C12">
        <v>21</v>
      </c>
      <c r="E12" t="s">
        <v>35</v>
      </c>
      <c r="F12" s="8"/>
    </row>
    <row r="13" spans="1:6" x14ac:dyDescent="0.25">
      <c r="A13" t="s">
        <v>6</v>
      </c>
      <c r="B13" t="s">
        <v>29</v>
      </c>
      <c r="C13">
        <v>58</v>
      </c>
    </row>
    <row r="14" spans="1:6" x14ac:dyDescent="0.25">
      <c r="A14" t="s">
        <v>8</v>
      </c>
      <c r="B14" t="s">
        <v>29</v>
      </c>
      <c r="C14">
        <v>21</v>
      </c>
    </row>
    <row r="15" spans="1:6" x14ac:dyDescent="0.25">
      <c r="A15" t="s">
        <v>1</v>
      </c>
      <c r="B15" t="s">
        <v>29</v>
      </c>
      <c r="C15">
        <v>54</v>
      </c>
    </row>
    <row r="16" spans="1:6" x14ac:dyDescent="0.25">
      <c r="A16" t="s">
        <v>0</v>
      </c>
      <c r="B16" t="s">
        <v>30</v>
      </c>
      <c r="C16">
        <v>55</v>
      </c>
    </row>
    <row r="17" spans="1:3" x14ac:dyDescent="0.25">
      <c r="A17" t="s">
        <v>7</v>
      </c>
      <c r="B17" t="s">
        <v>30</v>
      </c>
      <c r="C17">
        <v>41</v>
      </c>
    </row>
    <row r="18" spans="1:3" x14ac:dyDescent="0.25">
      <c r="A18" t="s">
        <v>9</v>
      </c>
      <c r="B18" t="s">
        <v>30</v>
      </c>
      <c r="C18">
        <v>92</v>
      </c>
    </row>
    <row r="19" spans="1:3" x14ac:dyDescent="0.25">
      <c r="A19" t="s">
        <v>5</v>
      </c>
      <c r="B19" t="s">
        <v>30</v>
      </c>
      <c r="C19">
        <v>89</v>
      </c>
    </row>
    <row r="20" spans="1:3" x14ac:dyDescent="0.25">
      <c r="A20" t="s">
        <v>6</v>
      </c>
      <c r="B20" t="s">
        <v>30</v>
      </c>
      <c r="C20">
        <v>34</v>
      </c>
    </row>
    <row r="21" spans="1:3" x14ac:dyDescent="0.25">
      <c r="A21" t="s">
        <v>8</v>
      </c>
      <c r="B21" t="s">
        <v>30</v>
      </c>
      <c r="C21">
        <v>29</v>
      </c>
    </row>
    <row r="22" spans="1:3" x14ac:dyDescent="0.25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2" zoomScale="190" zoomScaleNormal="190" workbookViewId="0">
      <selection activeCell="A32" sqref="A32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41</v>
      </c>
    </row>
    <row r="2" spans="1:3" x14ac:dyDescent="0.25">
      <c r="A2" t="s">
        <v>40</v>
      </c>
    </row>
    <row r="3" spans="1:3" x14ac:dyDescent="0.25">
      <c r="A3" t="str">
        <f>PROPER(A2)</f>
        <v>Kevin Cookie Company</v>
      </c>
    </row>
    <row r="5" spans="1:3" x14ac:dyDescent="0.25">
      <c r="A5" s="2" t="s">
        <v>43</v>
      </c>
    </row>
    <row r="6" spans="1:3" x14ac:dyDescent="0.25">
      <c r="A6" t="s">
        <v>42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47</v>
      </c>
      <c r="B10" t="s">
        <v>48</v>
      </c>
      <c r="C10" t="s">
        <v>49</v>
      </c>
    </row>
    <row r="11" spans="1:3" x14ac:dyDescent="0.25">
      <c r="A11" t="str">
        <f>CONCATENATE(A10," ",B10," ",C10)</f>
        <v>Kevin Cookie Company</v>
      </c>
    </row>
    <row r="13" spans="1:3" x14ac:dyDescent="0.25">
      <c r="A13" s="2" t="s">
        <v>45</v>
      </c>
    </row>
    <row r="14" spans="1:3" x14ac:dyDescent="0.25">
      <c r="A14" t="s">
        <v>47</v>
      </c>
      <c r="B14" t="s">
        <v>48</v>
      </c>
      <c r="C14" t="s">
        <v>49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21" spans="1:3" x14ac:dyDescent="0.25">
      <c r="A21" s="2" t="s">
        <v>51</v>
      </c>
    </row>
    <row r="22" spans="1:3" x14ac:dyDescent="0.25">
      <c r="A22" t="s">
        <v>50</v>
      </c>
    </row>
    <row r="23" spans="1:3" x14ac:dyDescent="0.25">
      <c r="A23" t="str">
        <f>RIGHT(A22, 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55</v>
      </c>
    </row>
    <row r="28" spans="1:3" x14ac:dyDescent="0.25">
      <c r="A28" s="5" t="s">
        <v>72</v>
      </c>
    </row>
    <row r="29" spans="1:3" x14ac:dyDescent="0.25">
      <c r="A29">
        <f>FIND("@",A28)</f>
        <v>4</v>
      </c>
    </row>
    <row r="31" spans="1:3" x14ac:dyDescent="0.25">
      <c r="A31" s="2" t="s">
        <v>54</v>
      </c>
    </row>
    <row r="32" spans="1:3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7" zoomScale="145" zoomScaleNormal="145" workbookViewId="0">
      <selection activeCell="C24" sqref="C24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56</v>
      </c>
    </row>
    <row r="2" spans="1:3" x14ac:dyDescent="0.25">
      <c r="A2" t="s">
        <v>53</v>
      </c>
      <c r="B2" t="s">
        <v>57</v>
      </c>
      <c r="C2" t="b">
        <f>A2=B2</f>
        <v>0</v>
      </c>
    </row>
    <row r="3" spans="1:3" x14ac:dyDescent="0.25">
      <c r="A3">
        <v>10</v>
      </c>
      <c r="B3">
        <v>5</v>
      </c>
      <c r="C3" t="b">
        <f>A3&gt;B3</f>
        <v>1</v>
      </c>
    </row>
    <row r="4" spans="1:3" x14ac:dyDescent="0.25">
      <c r="B4">
        <v>11</v>
      </c>
      <c r="C4" t="b">
        <f>B4&lt;A3</f>
        <v>0</v>
      </c>
    </row>
    <row r="5" spans="1:3" x14ac:dyDescent="0.25">
      <c r="C5" t="b">
        <f>AND(A3&gt;B3,B4&lt;A3)</f>
        <v>0</v>
      </c>
    </row>
    <row r="6" spans="1:3" x14ac:dyDescent="0.25">
      <c r="C6" t="b">
        <f>OR(B4&gt;A3,B3&lt;A3)</f>
        <v>1</v>
      </c>
    </row>
    <row r="8" spans="1:3" x14ac:dyDescent="0.25">
      <c r="A8" s="2"/>
    </row>
    <row r="9" spans="1:3" x14ac:dyDescent="0.25">
      <c r="A9" s="2" t="s">
        <v>18</v>
      </c>
      <c r="B9" s="2" t="s">
        <v>17</v>
      </c>
      <c r="C9" s="2" t="s">
        <v>58</v>
      </c>
    </row>
    <row r="10" spans="1:3" x14ac:dyDescent="0.25">
      <c r="A10" t="s">
        <v>0</v>
      </c>
      <c r="B10">
        <v>97</v>
      </c>
      <c r="C10" t="s">
        <v>59</v>
      </c>
    </row>
    <row r="11" spans="1:3" x14ac:dyDescent="0.25">
      <c r="A11" t="s">
        <v>7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9</v>
      </c>
      <c r="B12">
        <v>150</v>
      </c>
    </row>
    <row r="13" spans="1:3" x14ac:dyDescent="0.25">
      <c r="C13" s="2" t="s">
        <v>62</v>
      </c>
    </row>
    <row r="14" spans="1:3" x14ac:dyDescent="0.25">
      <c r="C14" t="s">
        <v>61</v>
      </c>
    </row>
    <row r="15" spans="1:3" x14ac:dyDescent="0.25">
      <c r="C15" t="str">
        <f>IF(AND(B10&gt;B11, B10&gt;B12),"yes","no")</f>
        <v>no</v>
      </c>
    </row>
    <row r="17" spans="1:5" x14ac:dyDescent="0.25">
      <c r="C17" s="2" t="s">
        <v>63</v>
      </c>
    </row>
    <row r="18" spans="1:5" x14ac:dyDescent="0.25">
      <c r="C18" t="s">
        <v>60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64</v>
      </c>
    </row>
    <row r="22" spans="1:5" x14ac:dyDescent="0.25">
      <c r="A22" t="s">
        <v>0</v>
      </c>
      <c r="B22">
        <v>10</v>
      </c>
      <c r="C22" t="s">
        <v>67</v>
      </c>
      <c r="E22" s="2" t="s">
        <v>9</v>
      </c>
    </row>
    <row r="23" spans="1:5" x14ac:dyDescent="0.25">
      <c r="A23" t="s">
        <v>7</v>
      </c>
      <c r="B23">
        <v>8</v>
      </c>
      <c r="C23">
        <f>IF(E22=A22,B22,IF(E22=A23,B23,IF(E22=A24,B24, "unknown")))</f>
        <v>5</v>
      </c>
    </row>
    <row r="24" spans="1:5" x14ac:dyDescent="0.25">
      <c r="A24" t="s">
        <v>9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H10"/>
  <sheetViews>
    <sheetView tabSelected="1" zoomScale="145" zoomScaleNormal="145" workbookViewId="0">
      <selection activeCell="H7" sqref="H7"/>
    </sheetView>
  </sheetViews>
  <sheetFormatPr defaultRowHeight="15" x14ac:dyDescent="0.25"/>
  <cols>
    <col min="1" max="2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8" x14ac:dyDescent="0.25">
      <c r="A1" s="2" t="s">
        <v>65</v>
      </c>
      <c r="B1" s="2" t="s">
        <v>66</v>
      </c>
      <c r="C1" s="2" t="s">
        <v>3</v>
      </c>
      <c r="D1" s="2"/>
      <c r="E1" s="2" t="s">
        <v>68</v>
      </c>
      <c r="H1" s="2" t="s">
        <v>75</v>
      </c>
    </row>
    <row r="2" spans="1:8" x14ac:dyDescent="0.25">
      <c r="A2" t="s">
        <v>0</v>
      </c>
      <c r="B2">
        <v>10</v>
      </c>
      <c r="C2">
        <v>4</v>
      </c>
      <c r="E2" t="s">
        <v>67</v>
      </c>
      <c r="F2" t="s">
        <v>9</v>
      </c>
      <c r="H2">
        <f>MATCH(4,C2:C4)</f>
        <v>3</v>
      </c>
    </row>
    <row r="3" spans="1:8" x14ac:dyDescent="0.25">
      <c r="A3" t="s">
        <v>7</v>
      </c>
      <c r="B3">
        <v>8</v>
      </c>
      <c r="C3">
        <v>3</v>
      </c>
      <c r="E3">
        <f>VLOOKUP(F2,A1:C4,2)</f>
        <v>5</v>
      </c>
    </row>
    <row r="4" spans="1:8" x14ac:dyDescent="0.25">
      <c r="A4" t="s">
        <v>9</v>
      </c>
      <c r="B4">
        <v>5</v>
      </c>
      <c r="C4">
        <v>2</v>
      </c>
    </row>
    <row r="5" spans="1:8" x14ac:dyDescent="0.25">
      <c r="E5" s="2" t="s">
        <v>69</v>
      </c>
      <c r="H5" s="2" t="s">
        <v>76</v>
      </c>
    </row>
    <row r="6" spans="1:8" x14ac:dyDescent="0.25">
      <c r="E6" t="s">
        <v>67</v>
      </c>
      <c r="F6" t="s">
        <v>0</v>
      </c>
      <c r="H6">
        <f>INDEX(A1:C4,2,2)</f>
        <v>10</v>
      </c>
    </row>
    <row r="8" spans="1:8" x14ac:dyDescent="0.25">
      <c r="A8" s="2" t="s">
        <v>0</v>
      </c>
      <c r="B8" s="2" t="s">
        <v>7</v>
      </c>
      <c r="C8" s="2" t="s">
        <v>9</v>
      </c>
      <c r="E8" s="2" t="s">
        <v>73</v>
      </c>
    </row>
    <row r="9" spans="1:8" x14ac:dyDescent="0.25">
      <c r="A9">
        <v>10</v>
      </c>
      <c r="B9">
        <v>8</v>
      </c>
      <c r="C9">
        <v>5</v>
      </c>
      <c r="E9" t="s">
        <v>74</v>
      </c>
      <c r="F9" t="s">
        <v>7</v>
      </c>
    </row>
    <row r="10" spans="1:8" x14ac:dyDescent="0.25">
      <c r="A10">
        <v>4</v>
      </c>
      <c r="B10">
        <v>3</v>
      </c>
      <c r="C10">
        <v>2</v>
      </c>
      <c r="E10">
        <f>HLOOKUP(B8,A8:C10,2)</f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46089</v>
      </c>
    </row>
    <row r="4" spans="1:1" x14ac:dyDescent="0.25">
      <c r="A4" s="2" t="s">
        <v>71</v>
      </c>
    </row>
    <row r="5" spans="1:1" x14ac:dyDescent="0.25">
      <c r="A5" s="7">
        <f ca="1">NOW()</f>
        <v>46089.846001388891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D7" sqref="D7"/>
    </sheetView>
  </sheetViews>
  <sheetFormatPr defaultRowHeight="15" x14ac:dyDescent="0.25"/>
  <sheetData>
    <row r="1" spans="1:2" x14ac:dyDescent="0.25">
      <c r="A1" s="9">
        <f>5+4</f>
        <v>9</v>
      </c>
      <c r="B1">
        <v>1</v>
      </c>
    </row>
    <row r="2" spans="1:2" x14ac:dyDescent="0.25">
      <c r="A2" s="9">
        <f>8-2</f>
        <v>6</v>
      </c>
      <c r="B2">
        <v>3</v>
      </c>
    </row>
    <row r="3" spans="1:2" x14ac:dyDescent="0.25">
      <c r="A3" s="9">
        <f>A2+B2</f>
        <v>9</v>
      </c>
      <c r="B3" s="9">
        <f>4+2</f>
        <v>6</v>
      </c>
    </row>
    <row r="4" spans="1:2" x14ac:dyDescent="0.25">
      <c r="A4">
        <v>3</v>
      </c>
      <c r="B4" s="9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Kenechukwu Odiegwu</cp:lastModifiedBy>
  <dcterms:created xsi:type="dcterms:W3CDTF">2022-05-10T22:30:35Z</dcterms:created>
  <dcterms:modified xsi:type="dcterms:W3CDTF">2026-03-08T19:20:45Z</dcterms:modified>
</cp:coreProperties>
</file>