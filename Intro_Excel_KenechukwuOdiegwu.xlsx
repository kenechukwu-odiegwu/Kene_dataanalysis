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KE PIM\Downloads\"/>
    </mc:Choice>
  </mc:AlternateContent>
  <xr:revisionPtr revIDLastSave="0" documentId="13_ncr:1_{6B68721F-F5E1-4913-8724-EC01ED0D356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81029"/>
  <extLs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F7" i="1" l="1"/>
  <c r="F8" i="1"/>
  <c r="F15" i="1"/>
  <c r="F16" i="1"/>
  <c r="F20" i="1"/>
  <c r="F23" i="1"/>
  <c r="F24" i="1"/>
  <c r="F28" i="1"/>
  <c r="F31" i="1"/>
  <c r="F32" i="1"/>
  <c r="F36" i="1"/>
  <c r="F39" i="1"/>
  <c r="F40" i="1"/>
  <c r="F44" i="1"/>
  <c r="F47" i="1"/>
  <c r="F48" i="1"/>
  <c r="F52" i="1"/>
  <c r="F55" i="1"/>
  <c r="F56" i="1"/>
  <c r="F60" i="1"/>
  <c r="F63" i="1"/>
  <c r="F64" i="1"/>
  <c r="F68" i="1"/>
  <c r="F71" i="1"/>
  <c r="F2" i="1"/>
  <c r="D76" i="1"/>
  <c r="D75" i="1"/>
  <c r="D74" i="1"/>
  <c r="D73" i="1"/>
  <c r="D72" i="1"/>
  <c r="E71" i="1"/>
  <c r="E70" i="1"/>
  <c r="F70" i="1" s="1"/>
  <c r="E69" i="1"/>
  <c r="F69" i="1" s="1"/>
  <c r="E68" i="1"/>
  <c r="E67" i="1"/>
  <c r="F67" i="1" s="1"/>
  <c r="E66" i="1"/>
  <c r="F66" i="1" s="1"/>
  <c r="E65" i="1"/>
  <c r="F65" i="1" s="1"/>
  <c r="E64" i="1"/>
  <c r="E63" i="1"/>
  <c r="E62" i="1"/>
  <c r="F62" i="1" s="1"/>
  <c r="E61" i="1"/>
  <c r="F61" i="1" s="1"/>
  <c r="E60" i="1"/>
  <c r="E59" i="1"/>
  <c r="F59" i="1" s="1"/>
  <c r="E58" i="1"/>
  <c r="F58" i="1" s="1"/>
  <c r="E57" i="1"/>
  <c r="F57" i="1" s="1"/>
  <c r="E56" i="1"/>
  <c r="E55" i="1"/>
  <c r="E54" i="1"/>
  <c r="F54" i="1" s="1"/>
  <c r="E53" i="1"/>
  <c r="F53" i="1" s="1"/>
  <c r="E52" i="1"/>
  <c r="E51" i="1"/>
  <c r="F51" i="1" s="1"/>
  <c r="E50" i="1"/>
  <c r="F50" i="1" s="1"/>
  <c r="E49" i="1"/>
  <c r="F49" i="1" s="1"/>
  <c r="E48" i="1"/>
  <c r="E47" i="1"/>
  <c r="E46" i="1"/>
  <c r="F46" i="1" s="1"/>
  <c r="E45" i="1"/>
  <c r="F45" i="1" s="1"/>
  <c r="E44" i="1"/>
  <c r="E43" i="1"/>
  <c r="F43" i="1" s="1"/>
  <c r="E42" i="1"/>
  <c r="F42" i="1" s="1"/>
  <c r="E41" i="1"/>
  <c r="F41" i="1" s="1"/>
  <c r="E40" i="1"/>
  <c r="E39" i="1"/>
  <c r="E38" i="1"/>
  <c r="F38" i="1" s="1"/>
  <c r="E37" i="1"/>
  <c r="F37" i="1" s="1"/>
  <c r="E36" i="1"/>
  <c r="E35" i="1"/>
  <c r="F35" i="1" s="1"/>
  <c r="E34" i="1"/>
  <c r="F34" i="1" s="1"/>
  <c r="E33" i="1"/>
  <c r="F33" i="1" s="1"/>
  <c r="E32" i="1"/>
  <c r="E31" i="1"/>
  <c r="E30" i="1"/>
  <c r="F30" i="1" s="1"/>
  <c r="E29" i="1"/>
  <c r="F29" i="1" s="1"/>
  <c r="E28" i="1"/>
  <c r="E27" i="1"/>
  <c r="F27" i="1" s="1"/>
  <c r="E26" i="1"/>
  <c r="F26" i="1" s="1"/>
  <c r="E25" i="1"/>
  <c r="F25" i="1" s="1"/>
  <c r="E24" i="1"/>
  <c r="E23" i="1"/>
  <c r="E22" i="1"/>
  <c r="F22" i="1" s="1"/>
  <c r="E21" i="1"/>
  <c r="F21" i="1" s="1"/>
  <c r="E20" i="1"/>
  <c r="E19" i="1"/>
  <c r="F19" i="1" s="1"/>
  <c r="E18" i="1"/>
  <c r="F18" i="1" s="1"/>
  <c r="E17" i="1"/>
  <c r="F17" i="1" s="1"/>
  <c r="E16" i="1"/>
  <c r="E15" i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E7" i="1"/>
  <c r="E6" i="1"/>
  <c r="F6" i="1" s="1"/>
  <c r="E5" i="1"/>
  <c r="F5" i="1" s="1"/>
  <c r="E4" i="1"/>
  <c r="F4" i="1" s="1"/>
  <c r="E3" i="1"/>
  <c r="F3" i="1" s="1"/>
  <c r="E2" i="1"/>
  <c r="E76" i="1" l="1"/>
  <c r="F74" i="1"/>
  <c r="F76" i="1"/>
  <c r="E74" i="1"/>
  <c r="E75" i="1"/>
  <c r="E73" i="1"/>
  <c r="E72" i="1"/>
  <c r="F72" i="1" l="1"/>
  <c r="F73" i="1"/>
  <c r="F75" i="1"/>
</calcChain>
</file>

<file path=xl/sharedStrings.xml><?xml version="1.0" encoding="utf-8"?>
<sst xmlns="http://schemas.openxmlformats.org/spreadsheetml/2006/main" count="82" uniqueCount="81">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</sst>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&quot;$&quot;* #,##0.00_);_(&quot;$&quot;* \(#,##0.00\);_(&quot;$&quot;* &quot;-&quot;??_);_(@_)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C2-4222-8302-D50346EEE69B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3C2-4222-8302-D50346EEE69B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3C2-4222-8302-D50346EEE69B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3C2-4222-8302-D50346EEE69B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C2-4222-8302-D50346EEE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6</xdr:row>
      <xdr:rowOff>104775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038332-1066-4048-842C-84FA27933018}" name="Table6" displayName="Table6" ref="A1:G76" totalsRowShown="0">
  <autoFilter ref="A1:G76" xr:uid="{60038332-1066-4048-842C-84FA27933018}"/>
  <tableColumns count="7">
    <tableColumn id="1" xr3:uid="{50B9B706-A37D-48D0-A3FE-E0A3D526F0C2}" name="Employee ID"/>
    <tableColumn id="2" xr3:uid="{FE0F5EC6-E546-4323-8F16-9D3356F97C60}" name="Name" dataDxfId="4"/>
    <tableColumn id="3" xr3:uid="{1F73D8B5-3732-498E-886E-03CA67EBFBCB}" name="Hourly Wage" dataDxfId="3"/>
    <tableColumn id="4" xr3:uid="{4DCC71BA-5332-4A8F-B24C-DEE09925477B}" name="Hours Worked" dataDxfId="2"/>
    <tableColumn id="5" xr3:uid="{EAB4C124-DD9C-4A89-BFA2-243EDC46A45C}" name="Taxable Income" dataDxfId="1"/>
    <tableColumn id="6" xr3:uid="{48B2E5E0-A666-4890-BD41-CCFF122E460A}" name="Taxes to Be Paid" dataDxfId="0"/>
    <tableColumn id="7" xr3:uid="{D514A4F0-E0C1-489B-94E1-FBCE132A861E}" name="Tax Rate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K16" sqref="K16"/>
    </sheetView>
  </sheetViews>
  <sheetFormatPr defaultColWidth="14.42578125" defaultRowHeight="15" customHeight="1" x14ac:dyDescent="0.25"/>
  <cols>
    <col min="1" max="1" width="14.28515625" customWidth="1"/>
    <col min="2" max="2" width="9.5703125" bestFit="1" customWidth="1"/>
    <col min="3" max="3" width="21.7109375" bestFit="1" customWidth="1"/>
    <col min="4" max="4" width="15.85546875" customWidth="1"/>
    <col min="5" max="5" width="18.42578125" customWidth="1"/>
    <col min="6" max="6" width="18.85546875" customWidth="1"/>
    <col min="7" max="7" width="11.140625" customWidth="1"/>
    <col min="8" max="8" width="5" bestFit="1" customWidth="1"/>
    <col min="9" max="9" width="5.7109375" bestFit="1" customWidth="1"/>
    <col min="10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>
        <v>1</v>
      </c>
      <c r="B2" s="6" t="s">
        <v>7</v>
      </c>
      <c r="C2" s="7">
        <v>14.25</v>
      </c>
      <c r="D2" s="5">
        <v>158</v>
      </c>
      <c r="E2" s="8">
        <f t="shared" ref="E2:E71" si="0">C2*D2</f>
        <v>2251.5</v>
      </c>
      <c r="F2" s="8">
        <f>E2*$G$2</f>
        <v>157.60500000000002</v>
      </c>
      <c r="G2" s="1">
        <v>7.0000000000000007E-2</v>
      </c>
    </row>
    <row r="3" spans="1:26" ht="14.25" customHeight="1" x14ac:dyDescent="0.25">
      <c r="A3" s="5">
        <v>2</v>
      </c>
      <c r="B3" s="6" t="s">
        <v>8</v>
      </c>
      <c r="C3" s="7">
        <v>15.5</v>
      </c>
      <c r="D3" s="5">
        <v>160</v>
      </c>
      <c r="E3" s="8">
        <f t="shared" si="0"/>
        <v>2480</v>
      </c>
      <c r="F3" s="8">
        <f t="shared" ref="F3:F66" si="1">E3*$G$2</f>
        <v>173.60000000000002</v>
      </c>
    </row>
    <row r="4" spans="1:26" ht="14.25" customHeight="1" x14ac:dyDescent="0.25">
      <c r="A4" s="5">
        <v>3</v>
      </c>
      <c r="B4" s="6" t="s">
        <v>9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25">
      <c r="A5" s="5">
        <v>4</v>
      </c>
      <c r="B5" s="6" t="s">
        <v>10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 x14ac:dyDescent="0.25">
      <c r="A6" s="5">
        <v>5</v>
      </c>
      <c r="B6" s="6" t="s">
        <v>11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25">
      <c r="A7" s="5">
        <v>6</v>
      </c>
      <c r="B7" s="6" t="s">
        <v>12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 x14ac:dyDescent="0.25">
      <c r="A8" s="5">
        <v>7</v>
      </c>
      <c r="B8" s="6" t="s">
        <v>13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 x14ac:dyDescent="0.25">
      <c r="A9" s="5">
        <v>8</v>
      </c>
      <c r="B9" s="6" t="s">
        <v>14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 x14ac:dyDescent="0.25">
      <c r="A10" s="5">
        <v>9</v>
      </c>
      <c r="B10" s="6" t="s">
        <v>15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 x14ac:dyDescent="0.25">
      <c r="A11" s="5">
        <v>10</v>
      </c>
      <c r="B11" s="6" t="s">
        <v>16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25">
      <c r="A12" s="5">
        <v>11</v>
      </c>
      <c r="B12" s="6" t="s">
        <v>17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25">
      <c r="A13" s="5">
        <v>12</v>
      </c>
      <c r="B13" s="6" t="s">
        <v>18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25">
      <c r="A14" s="5">
        <v>13</v>
      </c>
      <c r="B14" s="6" t="s">
        <v>19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25">
      <c r="A15" s="5">
        <v>14</v>
      </c>
      <c r="B15" s="6" t="s">
        <v>20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25">
      <c r="A16" s="5">
        <v>15</v>
      </c>
      <c r="B16" s="6" t="s">
        <v>21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5">
        <v>16</v>
      </c>
      <c r="B17" s="6" t="s">
        <v>22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25">
      <c r="A18" s="5">
        <v>17</v>
      </c>
      <c r="B18" s="6" t="s">
        <v>23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5">
        <v>18</v>
      </c>
      <c r="B19" s="6" t="s">
        <v>24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5">
        <v>19</v>
      </c>
      <c r="B20" s="6" t="s">
        <v>25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5">
        <v>20</v>
      </c>
      <c r="B21" s="6" t="s">
        <v>26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5">
        <v>21</v>
      </c>
      <c r="B22" s="6" t="s">
        <v>27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5">
        <v>22</v>
      </c>
      <c r="B23" s="6" t="s">
        <v>28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5">
        <v>23</v>
      </c>
      <c r="B24" s="6" t="s">
        <v>29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5">
        <v>24</v>
      </c>
      <c r="B25" s="6" t="s">
        <v>30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5">
        <v>25</v>
      </c>
      <c r="B26" s="6" t="s">
        <v>31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5">
        <v>26</v>
      </c>
      <c r="B27" s="6" t="s">
        <v>28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5">
        <v>27</v>
      </c>
      <c r="B28" s="6" t="s">
        <v>32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5">
        <v>28</v>
      </c>
      <c r="B29" s="6" t="s">
        <v>33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5">
        <v>29</v>
      </c>
      <c r="B30" s="6" t="s">
        <v>34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5">
        <v>30</v>
      </c>
      <c r="B31" s="6" t="s">
        <v>35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5">
        <v>31</v>
      </c>
      <c r="B32" s="6" t="s">
        <v>36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5">
        <v>32</v>
      </c>
      <c r="B33" s="6" t="s">
        <v>37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5">
        <v>33</v>
      </c>
      <c r="B34" s="6" t="s">
        <v>38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25">
      <c r="A35" s="5">
        <v>34</v>
      </c>
      <c r="B35" s="6" t="s">
        <v>39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25">
      <c r="A36" s="5">
        <v>35</v>
      </c>
      <c r="B36" s="6" t="s">
        <v>40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25">
      <c r="A37" s="5">
        <v>36</v>
      </c>
      <c r="B37" s="6" t="s">
        <v>41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25">
      <c r="A38" s="5">
        <v>37</v>
      </c>
      <c r="B38" s="6" t="s">
        <v>42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25">
      <c r="A39" s="5">
        <v>38</v>
      </c>
      <c r="B39" s="6" t="s">
        <v>43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25">
      <c r="A40" s="5">
        <v>39</v>
      </c>
      <c r="B40" s="6" t="s">
        <v>44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25">
      <c r="A41" s="5">
        <v>40</v>
      </c>
      <c r="B41" s="6" t="s">
        <v>45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25">
      <c r="A42" s="5">
        <v>41</v>
      </c>
      <c r="B42" s="6" t="s">
        <v>46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25">
      <c r="A43" s="5">
        <v>42</v>
      </c>
      <c r="B43" s="6" t="s">
        <v>47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25">
      <c r="A44" s="5">
        <v>43</v>
      </c>
      <c r="B44" s="6" t="s">
        <v>48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25">
      <c r="A45" s="5">
        <v>44</v>
      </c>
      <c r="B45" s="6" t="s">
        <v>49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25">
      <c r="A46" s="5">
        <v>45</v>
      </c>
      <c r="B46" s="6" t="s">
        <v>50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25">
      <c r="A47" s="5">
        <v>46</v>
      </c>
      <c r="B47" s="6" t="s">
        <v>51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25">
      <c r="A48" s="5">
        <v>47</v>
      </c>
      <c r="B48" s="6" t="s">
        <v>52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25">
      <c r="A49" s="5">
        <v>48</v>
      </c>
      <c r="B49" s="6" t="s">
        <v>53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25">
      <c r="A50" s="5">
        <v>49</v>
      </c>
      <c r="B50" s="6" t="s">
        <v>54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25">
      <c r="A51" s="5">
        <v>50</v>
      </c>
      <c r="B51" s="6" t="s">
        <v>55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25">
      <c r="A52" s="5">
        <v>51</v>
      </c>
      <c r="B52" s="6" t="s">
        <v>56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25">
      <c r="A53" s="5">
        <v>52</v>
      </c>
      <c r="B53" s="6" t="s">
        <v>57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25">
      <c r="A54" s="5">
        <v>53</v>
      </c>
      <c r="B54" s="6" t="s">
        <v>58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25">
      <c r="A55" s="5">
        <v>54</v>
      </c>
      <c r="B55" s="6" t="s">
        <v>59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25">
      <c r="A56" s="5">
        <v>55</v>
      </c>
      <c r="B56" s="6" t="s">
        <v>60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25">
      <c r="A57" s="5">
        <v>56</v>
      </c>
      <c r="B57" s="6" t="s">
        <v>61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25">
      <c r="A58" s="5">
        <v>57</v>
      </c>
      <c r="B58" s="6" t="s">
        <v>62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25">
      <c r="A59" s="5">
        <v>58</v>
      </c>
      <c r="B59" s="6" t="s">
        <v>63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25">
      <c r="A60" s="5">
        <v>59</v>
      </c>
      <c r="B60" s="6" t="s">
        <v>64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25">
      <c r="A61" s="5">
        <v>60</v>
      </c>
      <c r="B61" s="6" t="s">
        <v>65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25">
      <c r="A62" s="5">
        <v>61</v>
      </c>
      <c r="B62" s="6" t="s">
        <v>66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25">
      <c r="A63" s="5">
        <v>62</v>
      </c>
      <c r="B63" s="6" t="s">
        <v>67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25">
      <c r="A64" s="5">
        <v>63</v>
      </c>
      <c r="B64" s="6" t="s">
        <v>68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25">
      <c r="A65" s="5">
        <v>64</v>
      </c>
      <c r="B65" s="6" t="s">
        <v>69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25">
      <c r="A66" s="5">
        <v>65</v>
      </c>
      <c r="B66" s="6" t="s">
        <v>70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25">
      <c r="A67" s="5">
        <v>66</v>
      </c>
      <c r="B67" s="6" t="s">
        <v>71</v>
      </c>
      <c r="C67" s="7">
        <v>11</v>
      </c>
      <c r="D67" s="5">
        <v>160</v>
      </c>
      <c r="E67" s="8">
        <f t="shared" si="0"/>
        <v>1760</v>
      </c>
      <c r="F67" s="8">
        <f t="shared" ref="F67:F71" si="2">E67*$G$2</f>
        <v>123.20000000000002</v>
      </c>
    </row>
    <row r="68" spans="1:6" ht="14.25" customHeight="1" x14ac:dyDescent="0.25">
      <c r="A68" s="5">
        <v>67</v>
      </c>
      <c r="B68" s="6" t="s">
        <v>72</v>
      </c>
      <c r="C68" s="7">
        <v>12</v>
      </c>
      <c r="D68" s="5">
        <v>156</v>
      </c>
      <c r="E68" s="8">
        <f t="shared" si="0"/>
        <v>1872</v>
      </c>
      <c r="F68" s="8">
        <f t="shared" si="2"/>
        <v>131.04000000000002</v>
      </c>
    </row>
    <row r="69" spans="1:6" ht="14.25" customHeight="1" x14ac:dyDescent="0.25">
      <c r="A69" s="5">
        <v>68</v>
      </c>
      <c r="B69" s="6" t="s">
        <v>73</v>
      </c>
      <c r="C69" s="7">
        <v>15.5</v>
      </c>
      <c r="D69" s="5">
        <v>117</v>
      </c>
      <c r="E69" s="8">
        <f t="shared" si="0"/>
        <v>1813.5</v>
      </c>
      <c r="F69" s="8">
        <f t="shared" si="2"/>
        <v>126.94500000000001</v>
      </c>
    </row>
    <row r="70" spans="1:6" ht="14.25" customHeight="1" x14ac:dyDescent="0.25">
      <c r="A70" s="5">
        <v>69</v>
      </c>
      <c r="B70" s="6" t="s">
        <v>74</v>
      </c>
      <c r="C70" s="7">
        <v>11</v>
      </c>
      <c r="D70" s="5">
        <v>76</v>
      </c>
      <c r="E70" s="8">
        <f t="shared" si="0"/>
        <v>836</v>
      </c>
      <c r="F70" s="8">
        <f t="shared" si="2"/>
        <v>58.52</v>
      </c>
    </row>
    <row r="71" spans="1:6" ht="14.25" customHeight="1" x14ac:dyDescent="0.25">
      <c r="A71" s="5">
        <v>70</v>
      </c>
      <c r="B71" s="6" t="s">
        <v>75</v>
      </c>
      <c r="C71" s="7">
        <v>12</v>
      </c>
      <c r="D71" s="5">
        <v>175</v>
      </c>
      <c r="E71" s="8">
        <f t="shared" si="0"/>
        <v>2100</v>
      </c>
      <c r="F71" s="8">
        <f t="shared" si="2"/>
        <v>147</v>
      </c>
    </row>
    <row r="72" spans="1:6" ht="14.25" customHeight="1" x14ac:dyDescent="0.25">
      <c r="B72" s="6"/>
      <c r="C72" s="11" t="s">
        <v>76</v>
      </c>
      <c r="D72" s="5">
        <f>SUM(D2:D71)</f>
        <v>9367</v>
      </c>
      <c r="E72" s="8">
        <f>SUM(E2:E71)</f>
        <v>142794.5</v>
      </c>
      <c r="F72" s="8">
        <f>SUM(TaxesOwed)</f>
        <v>9995.6150000000034</v>
      </c>
    </row>
    <row r="73" spans="1:6" ht="14.25" customHeight="1" x14ac:dyDescent="0.25">
      <c r="B73" s="6"/>
      <c r="C73" s="11" t="s">
        <v>77</v>
      </c>
      <c r="D73" s="5">
        <f>AVERAGE(D2:D71)</f>
        <v>133.81428571428572</v>
      </c>
      <c r="E73" s="8">
        <f>AVERAGE(E2:E71)</f>
        <v>2039.9214285714286</v>
      </c>
      <c r="F73" s="8">
        <f>AVERAGE(TaxesOwed)</f>
        <v>142.79450000000006</v>
      </c>
    </row>
    <row r="74" spans="1:6" ht="14.25" customHeight="1" x14ac:dyDescent="0.25">
      <c r="B74" s="6"/>
      <c r="C74" s="11" t="s">
        <v>78</v>
      </c>
      <c r="D74" s="5">
        <f>MAX(D2:D71)</f>
        <v>208</v>
      </c>
      <c r="E74" s="8">
        <f>MAX(E2:E71)</f>
        <v>6368</v>
      </c>
      <c r="F74" s="8">
        <f>MAX(F2:F71)</f>
        <v>445.76000000000005</v>
      </c>
    </row>
    <row r="75" spans="1:6" ht="14.25" customHeight="1" x14ac:dyDescent="0.25">
      <c r="B75" s="6"/>
      <c r="C75" s="11" t="s">
        <v>79</v>
      </c>
      <c r="D75" s="5">
        <f>MIN(D2:D71)</f>
        <v>69</v>
      </c>
      <c r="E75" s="8">
        <f>MIN(E2:E71)</f>
        <v>836</v>
      </c>
      <c r="F75" s="8">
        <f>MIN(F2:F71)</f>
        <v>58.52</v>
      </c>
    </row>
    <row r="76" spans="1:6" ht="14.25" customHeight="1" x14ac:dyDescent="0.25">
      <c r="B76" s="6"/>
      <c r="C76" s="11" t="s">
        <v>80</v>
      </c>
      <c r="D76" s="5">
        <f>COUNT(D2:D71)</f>
        <v>70</v>
      </c>
      <c r="E76" s="5">
        <f>COUNT(E2:E71)</f>
        <v>70</v>
      </c>
      <c r="F76" s="5">
        <f>COUNT(F2:F71)</f>
        <v>70</v>
      </c>
    </row>
    <row r="77" spans="1:6" ht="14.25" customHeight="1" x14ac:dyDescent="0.25">
      <c r="B77" s="6"/>
      <c r="C77" s="7"/>
      <c r="E77" s="8"/>
      <c r="F77" s="8"/>
    </row>
    <row r="78" spans="1:6" ht="14.25" customHeight="1" x14ac:dyDescent="0.25">
      <c r="B78" s="6"/>
      <c r="C78" s="7"/>
      <c r="E78" s="8"/>
      <c r="F78" s="8"/>
    </row>
    <row r="79" spans="1:6" ht="14.25" customHeight="1" x14ac:dyDescent="0.25">
      <c r="B79" s="6"/>
      <c r="C79" s="7"/>
      <c r="E79" s="8"/>
      <c r="F79" s="8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D73045-CBB6-4586-8C01-F3AEDF31E2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Kenechukwu Odiegwu</cp:lastModifiedBy>
  <dcterms:created xsi:type="dcterms:W3CDTF">2022-07-03T02:12:21Z</dcterms:created>
  <dcterms:modified xsi:type="dcterms:W3CDTF">2026-02-22T00:36:55Z</dcterms:modified>
</cp:coreProperties>
</file>